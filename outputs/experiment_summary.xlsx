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Business Analytics with Gen AI\Capstone Project\Part 2\"/>
    </mc:Choice>
  </mc:AlternateContent>
  <xr:revisionPtr revIDLastSave="0" documentId="13_ncr:1_{DA16FCD0-9CA5-4342-9FF2-396D2CDEC853}" xr6:coauthVersionLast="47" xr6:coauthVersionMax="47" xr10:uidLastSave="{00000000-0000-0000-0000-000000000000}"/>
  <bookViews>
    <workbookView xWindow="-108" yWindow="-108" windowWidth="23256" windowHeight="12456" xr2:uid="{FECA3217-D8C2-4582-9DD0-CCEDEC4561C1}"/>
  </bookViews>
  <sheets>
    <sheet name="experiment summary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9" i="3" l="1"/>
  <c r="C69" i="3"/>
  <c r="D68" i="3"/>
  <c r="C68" i="3"/>
  <c r="D67" i="3"/>
  <c r="C67" i="3"/>
  <c r="D66" i="3"/>
  <c r="D65" i="3"/>
  <c r="C65" i="3"/>
  <c r="D64" i="3"/>
  <c r="C64" i="3"/>
  <c r="D63" i="3"/>
  <c r="C63" i="3"/>
  <c r="D62" i="3"/>
  <c r="C62" i="3"/>
  <c r="D54" i="3"/>
  <c r="D53" i="3"/>
  <c r="L51" i="3"/>
  <c r="K51" i="3"/>
  <c r="J51" i="3"/>
  <c r="I51" i="3"/>
  <c r="F51" i="3"/>
  <c r="E51" i="3"/>
  <c r="D51" i="3"/>
  <c r="C51" i="3"/>
  <c r="G51" i="3" s="1"/>
  <c r="K50" i="3"/>
  <c r="J50" i="3"/>
  <c r="I50" i="3"/>
  <c r="L50" i="3" s="1"/>
  <c r="F50" i="3"/>
  <c r="E50" i="3"/>
  <c r="D50" i="3"/>
  <c r="C50" i="3"/>
  <c r="G50" i="3" s="1"/>
  <c r="N45" i="3"/>
  <c r="M45" i="3"/>
  <c r="L45" i="3"/>
  <c r="K45" i="3"/>
  <c r="J45" i="3"/>
  <c r="I45" i="3"/>
  <c r="O45" i="3" s="1"/>
  <c r="F45" i="3"/>
  <c r="E45" i="3"/>
  <c r="D45" i="3"/>
  <c r="C45" i="3"/>
  <c r="G45" i="3" s="1"/>
  <c r="N44" i="3"/>
  <c r="M44" i="3"/>
  <c r="L44" i="3"/>
  <c r="K44" i="3"/>
  <c r="O44" i="3" s="1"/>
  <c r="J44" i="3"/>
  <c r="I44" i="3"/>
  <c r="F44" i="3"/>
  <c r="E44" i="3"/>
  <c r="D44" i="3"/>
  <c r="C44" i="3"/>
  <c r="G44" i="3" s="1"/>
  <c r="D34" i="3"/>
  <c r="D33" i="3"/>
  <c r="K31" i="3"/>
  <c r="J31" i="3"/>
  <c r="L31" i="3" s="1"/>
  <c r="I31" i="3"/>
  <c r="F31" i="3"/>
  <c r="E31" i="3"/>
  <c r="D31" i="3"/>
  <c r="C31" i="3"/>
  <c r="G31" i="3" s="1"/>
  <c r="K30" i="3"/>
  <c r="L30" i="3" s="1"/>
  <c r="J30" i="3"/>
  <c r="I30" i="3"/>
  <c r="F30" i="3"/>
  <c r="E30" i="3"/>
  <c r="D30" i="3"/>
  <c r="C30" i="3"/>
  <c r="G30" i="3" s="1"/>
  <c r="N25" i="3"/>
  <c r="M25" i="3"/>
  <c r="L25" i="3"/>
  <c r="K25" i="3"/>
  <c r="O25" i="3" s="1"/>
  <c r="J25" i="3"/>
  <c r="I25" i="3"/>
  <c r="F25" i="3"/>
  <c r="E25" i="3"/>
  <c r="D25" i="3"/>
  <c r="C25" i="3"/>
  <c r="G25" i="3" s="1"/>
  <c r="N24" i="3"/>
  <c r="M24" i="3"/>
  <c r="L24" i="3"/>
  <c r="K24" i="3"/>
  <c r="O24" i="3" s="1"/>
  <c r="J24" i="3"/>
  <c r="I24" i="3"/>
  <c r="F24" i="3"/>
  <c r="E24" i="3"/>
  <c r="D24" i="3"/>
  <c r="C24" i="3"/>
  <c r="G24" i="3" s="1"/>
  <c r="L15" i="3"/>
  <c r="G15" i="3"/>
  <c r="L14" i="3"/>
  <c r="G14" i="3"/>
  <c r="O9" i="3"/>
  <c r="G9" i="3"/>
  <c r="O8" i="3"/>
  <c r="G8" i="3"/>
</calcChain>
</file>

<file path=xl/sharedStrings.xml><?xml version="1.0" encoding="utf-8"?>
<sst xmlns="http://schemas.openxmlformats.org/spreadsheetml/2006/main" count="114" uniqueCount="43">
  <si>
    <t>Control</t>
  </si>
  <si>
    <t>Desktop</t>
  </si>
  <si>
    <t>Email</t>
  </si>
  <si>
    <t>Basic</t>
  </si>
  <si>
    <t>West</t>
  </si>
  <si>
    <t>Mobile</t>
  </si>
  <si>
    <t>Organic</t>
  </si>
  <si>
    <t>Free</t>
  </si>
  <si>
    <t>Paid Search</t>
  </si>
  <si>
    <t>Premium</t>
  </si>
  <si>
    <t>South</t>
  </si>
  <si>
    <t>Tablet</t>
  </si>
  <si>
    <t>Social</t>
  </si>
  <si>
    <t>Treatment</t>
  </si>
  <si>
    <t>Metric : User Count</t>
  </si>
  <si>
    <t>Total Users Control</t>
  </si>
  <si>
    <t>Segment : Region</t>
  </si>
  <si>
    <t>Total Users Treatment</t>
  </si>
  <si>
    <t>Segment : Traffic Source</t>
  </si>
  <si>
    <t xml:space="preserve">East </t>
  </si>
  <si>
    <t xml:space="preserve">North </t>
  </si>
  <si>
    <t>Referrel</t>
  </si>
  <si>
    <t>Missing</t>
  </si>
  <si>
    <t>Segment : Device Type</t>
  </si>
  <si>
    <t>Segment : Plan Type</t>
  </si>
  <si>
    <t>Metric : Landing Page Visit Rate</t>
  </si>
  <si>
    <t>Total Users Visited Landing Page :- Control</t>
  </si>
  <si>
    <t>Total Users Visited Landing Page :- Treatment</t>
  </si>
  <si>
    <t>Metric : Trial Start Rate</t>
  </si>
  <si>
    <t>Total Users Started Trial :- Control</t>
  </si>
  <si>
    <t>Total Users Started Trial :- Treatment</t>
  </si>
  <si>
    <t>Metric</t>
  </si>
  <si>
    <t xml:space="preserve">Control </t>
  </si>
  <si>
    <t xml:space="preserve">Treatment 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</si>
  <si>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</si>
  <si>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</si>
  <si>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</si>
  <si>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</si>
  <si>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</si>
  <si>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</si>
  <si>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</si>
  <si>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</si>
  <si>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Task 5: Create Experiment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</si>
</sst>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rlito"/>
    </font>
    <font>
      <b/>
      <sz val="15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24292F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0D7DE"/>
      </left>
      <right style="medium">
        <color rgb="FFD0D7DE"/>
      </right>
      <top/>
      <bottom style="medium">
        <color rgb="FFD0D7DE"/>
      </bottom>
      <diagonal/>
    </border>
    <border>
      <left style="medium">
        <color rgb="FFD0D7DE"/>
      </left>
      <right style="medium">
        <color rgb="FFD0D7DE"/>
      </right>
      <top style="medium">
        <color rgb="FFD0D7DE"/>
      </top>
      <bottom style="medium">
        <color rgb="FFD0D7DE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2" borderId="1" xfId="0" applyFont="1" applyFill="1" applyBorder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2" borderId="1" xfId="0" applyFont="1" applyFill="1" applyBorder="1"/>
    <xf numFmtId="0" fontId="4" fillId="2" borderId="1" xfId="0" applyFont="1" applyFill="1" applyBorder="1"/>
    <xf numFmtId="0" fontId="5" fillId="0" borderId="1" xfId="0" applyFont="1" applyBorder="1"/>
    <xf numFmtId="0" fontId="0" fillId="3" borderId="0" xfId="0" applyFill="1"/>
    <xf numFmtId="0" fontId="7" fillId="2" borderId="1" xfId="0" applyFont="1" applyFill="1" applyBorder="1"/>
    <xf numFmtId="0" fontId="0" fillId="0" borderId="1" xfId="0" applyBorder="1"/>
    <xf numFmtId="0" fontId="8" fillId="4" borderId="2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7EC794EA-8649-4126-BE45-D1897BF3A0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58F0-DC0E-4952-A5F4-D1E2E1110158}">
  <dimension ref="A1:O72"/>
  <sheetViews>
    <sheetView tabSelected="1" workbookViewId="0">
      <selection activeCell="D3" sqref="D3"/>
    </sheetView>
  </sheetViews>
  <sheetFormatPr defaultRowHeight="14.4"/>
  <cols>
    <col min="2" max="2" width="44.33203125" customWidth="1"/>
    <col min="3" max="3" width="8" customWidth="1"/>
    <col min="4" max="4" width="12.21875" customWidth="1"/>
    <col min="8" max="8" width="27.44140625" bestFit="1" customWidth="1"/>
    <col min="11" max="11" width="11.21875" bestFit="1" customWidth="1"/>
    <col min="13" max="13" width="11.21875" bestFit="1" customWidth="1"/>
  </cols>
  <sheetData>
    <row r="1" spans="1:15" ht="18.600000000000001">
      <c r="A1" s="1" t="s">
        <v>42</v>
      </c>
      <c r="B1" s="1"/>
    </row>
    <row r="4" spans="1:15" ht="18.600000000000001">
      <c r="B4" s="1" t="s">
        <v>14</v>
      </c>
      <c r="C4" s="2" t="s">
        <v>15</v>
      </c>
      <c r="D4" s="3"/>
      <c r="E4" s="4">
        <v>690</v>
      </c>
    </row>
    <row r="5" spans="1:15" ht="16.8">
      <c r="B5" s="5" t="s">
        <v>16</v>
      </c>
      <c r="C5" s="2" t="s">
        <v>17</v>
      </c>
      <c r="D5" s="3"/>
      <c r="E5" s="4">
        <v>710</v>
      </c>
      <c r="H5" s="5" t="s">
        <v>18</v>
      </c>
    </row>
    <row r="7" spans="1:15">
      <c r="B7" s="4"/>
      <c r="C7" s="6" t="s">
        <v>19</v>
      </c>
      <c r="D7" s="6" t="s">
        <v>4</v>
      </c>
      <c r="E7" s="6" t="s">
        <v>20</v>
      </c>
      <c r="F7" s="6" t="s">
        <v>10</v>
      </c>
      <c r="H7" s="4"/>
      <c r="I7" s="6" t="s">
        <v>2</v>
      </c>
      <c r="J7" s="6" t="s">
        <v>6</v>
      </c>
      <c r="K7" s="6" t="s">
        <v>8</v>
      </c>
      <c r="L7" s="6" t="s">
        <v>21</v>
      </c>
      <c r="M7" s="6" t="s">
        <v>12</v>
      </c>
      <c r="N7" s="6" t="s">
        <v>22</v>
      </c>
    </row>
    <row r="8" spans="1:15">
      <c r="B8" s="6" t="s">
        <v>0</v>
      </c>
      <c r="C8" s="7">
        <v>157</v>
      </c>
      <c r="D8" s="7">
        <v>148</v>
      </c>
      <c r="E8" s="4">
        <v>201</v>
      </c>
      <c r="F8" s="7">
        <v>184</v>
      </c>
      <c r="G8">
        <f>SUM(C8:F8)</f>
        <v>690</v>
      </c>
      <c r="H8" s="6" t="s">
        <v>0</v>
      </c>
      <c r="I8" s="7">
        <v>73</v>
      </c>
      <c r="J8" s="7">
        <v>246</v>
      </c>
      <c r="K8" s="4">
        <v>155</v>
      </c>
      <c r="L8" s="7">
        <v>81</v>
      </c>
      <c r="M8" s="4">
        <v>129</v>
      </c>
      <c r="N8" s="7">
        <v>6</v>
      </c>
      <c r="O8">
        <f>SUM(I8:N8)</f>
        <v>690</v>
      </c>
    </row>
    <row r="9" spans="1:15">
      <c r="B9" s="6" t="s">
        <v>13</v>
      </c>
      <c r="C9" s="7">
        <v>170</v>
      </c>
      <c r="D9" s="7">
        <v>177</v>
      </c>
      <c r="E9" s="7">
        <v>180</v>
      </c>
      <c r="F9" s="7">
        <v>183</v>
      </c>
      <c r="G9">
        <f>SUM(C9:F9)</f>
        <v>710</v>
      </c>
      <c r="H9" s="6" t="s">
        <v>13</v>
      </c>
      <c r="I9" s="7">
        <v>56</v>
      </c>
      <c r="J9" s="7">
        <v>237</v>
      </c>
      <c r="K9" s="7">
        <v>176</v>
      </c>
      <c r="L9" s="7">
        <v>91</v>
      </c>
      <c r="M9" s="7">
        <v>132</v>
      </c>
      <c r="N9" s="7">
        <v>18</v>
      </c>
      <c r="O9">
        <f>SUM(I9:N9)</f>
        <v>710</v>
      </c>
    </row>
    <row r="11" spans="1:15" ht="16.8">
      <c r="B11" s="5" t="s">
        <v>23</v>
      </c>
      <c r="H11" s="5" t="s">
        <v>24</v>
      </c>
    </row>
    <row r="13" spans="1:15">
      <c r="B13" s="4"/>
      <c r="C13" s="6" t="s">
        <v>1</v>
      </c>
      <c r="D13" s="6" t="s">
        <v>5</v>
      </c>
      <c r="E13" s="6" t="s">
        <v>11</v>
      </c>
      <c r="F13" s="6" t="s">
        <v>22</v>
      </c>
      <c r="H13" s="4"/>
      <c r="I13" s="6" t="s">
        <v>3</v>
      </c>
      <c r="J13" s="6" t="s">
        <v>7</v>
      </c>
      <c r="K13" s="6" t="s">
        <v>9</v>
      </c>
      <c r="L13" s="2"/>
      <c r="M13" s="2"/>
      <c r="N13" s="2"/>
    </row>
    <row r="14" spans="1:15">
      <c r="B14" s="6" t="s">
        <v>0</v>
      </c>
      <c r="C14" s="7">
        <v>200</v>
      </c>
      <c r="D14" s="7">
        <v>426</v>
      </c>
      <c r="E14" s="4">
        <v>55</v>
      </c>
      <c r="F14" s="7">
        <v>9</v>
      </c>
      <c r="G14">
        <f>SUM(C14:F14)</f>
        <v>690</v>
      </c>
      <c r="H14" s="6" t="s">
        <v>0</v>
      </c>
      <c r="I14" s="7">
        <v>221</v>
      </c>
      <c r="J14" s="7">
        <v>360</v>
      </c>
      <c r="K14" s="7">
        <v>109</v>
      </c>
      <c r="L14" s="4">
        <f>SUM(I14:K14)</f>
        <v>690</v>
      </c>
      <c r="M14" s="4"/>
      <c r="N14" s="4"/>
    </row>
    <row r="15" spans="1:15">
      <c r="B15" s="6" t="s">
        <v>13</v>
      </c>
      <c r="C15" s="7">
        <v>213</v>
      </c>
      <c r="D15" s="7">
        <v>432</v>
      </c>
      <c r="E15" s="7">
        <v>56</v>
      </c>
      <c r="F15" s="7">
        <v>9</v>
      </c>
      <c r="G15">
        <f>SUM(C15:F15)</f>
        <v>710</v>
      </c>
      <c r="H15" s="6" t="s">
        <v>13</v>
      </c>
      <c r="I15" s="7">
        <v>232</v>
      </c>
      <c r="J15" s="7">
        <v>366</v>
      </c>
      <c r="K15" s="7">
        <v>112</v>
      </c>
      <c r="L15" s="4">
        <f>SUM(I15:K15)</f>
        <v>710</v>
      </c>
      <c r="M15" s="4"/>
      <c r="N15" s="4"/>
    </row>
    <row r="17" spans="2:15" s="8" customFormat="1"/>
    <row r="20" spans="2:15" ht="18.600000000000001">
      <c r="B20" s="1" t="s">
        <v>25</v>
      </c>
      <c r="C20" s="2" t="s">
        <v>15</v>
      </c>
      <c r="D20" s="3"/>
      <c r="E20" s="4">
        <v>690</v>
      </c>
    </row>
    <row r="21" spans="2:15" ht="16.8">
      <c r="B21" s="5" t="s">
        <v>16</v>
      </c>
      <c r="C21" s="2" t="s">
        <v>17</v>
      </c>
      <c r="D21" s="3"/>
      <c r="E21" s="4">
        <v>710</v>
      </c>
      <c r="H21" s="5" t="s">
        <v>18</v>
      </c>
    </row>
    <row r="23" spans="2:15">
      <c r="B23" s="4"/>
      <c r="C23" s="6" t="s">
        <v>19</v>
      </c>
      <c r="D23" s="6" t="s">
        <v>4</v>
      </c>
      <c r="E23" s="6" t="s">
        <v>20</v>
      </c>
      <c r="F23" s="6" t="s">
        <v>10</v>
      </c>
      <c r="H23" s="4"/>
      <c r="I23" s="6" t="s">
        <v>2</v>
      </c>
      <c r="J23" s="6" t="s">
        <v>6</v>
      </c>
      <c r="K23" s="6" t="s">
        <v>8</v>
      </c>
      <c r="L23" s="6" t="s">
        <v>21</v>
      </c>
      <c r="M23" s="6" t="s">
        <v>12</v>
      </c>
      <c r="N23" s="6" t="s">
        <v>22</v>
      </c>
    </row>
    <row r="24" spans="2:15">
      <c r="B24" s="6" t="s">
        <v>0</v>
      </c>
      <c r="C24" s="7">
        <f>ROUND((104/E20)*100,2)</f>
        <v>15.07</v>
      </c>
      <c r="D24" s="7">
        <f>ROUND((100/E20)*100,2)</f>
        <v>14.49</v>
      </c>
      <c r="E24" s="7">
        <f>ROUND((123/E20)*100,2)</f>
        <v>17.829999999999998</v>
      </c>
      <c r="F24" s="7">
        <f>ROUND((112/E20)*100,2)</f>
        <v>16.23</v>
      </c>
      <c r="G24">
        <f>SUM(C24:F24)</f>
        <v>63.620000000000005</v>
      </c>
      <c r="H24" s="6" t="s">
        <v>0</v>
      </c>
      <c r="I24" s="7">
        <f>ROUND((46/E20)*100,2)</f>
        <v>6.67</v>
      </c>
      <c r="J24" s="7">
        <f>ROUND((151/E20)*100,2)</f>
        <v>21.88</v>
      </c>
      <c r="K24" s="7">
        <f>ROUND((101/E20)*100,2)</f>
        <v>14.64</v>
      </c>
      <c r="L24" s="7">
        <f>ROUND((48/E20)*100,2)</f>
        <v>6.96</v>
      </c>
      <c r="M24" s="7">
        <f>ROUND((89/E20)*100,2)</f>
        <v>12.9</v>
      </c>
      <c r="N24" s="7">
        <f>ROUND((4/E20)*100,2)</f>
        <v>0.57999999999999996</v>
      </c>
      <c r="O24">
        <f>SUM(I24:N24)</f>
        <v>63.629999999999995</v>
      </c>
    </row>
    <row r="25" spans="2:15">
      <c r="B25" s="6" t="s">
        <v>13</v>
      </c>
      <c r="C25" s="7">
        <f>ROUND((127/E21)*100,2)</f>
        <v>17.89</v>
      </c>
      <c r="D25" s="7">
        <f>ROUND((120/E21)*100,2)</f>
        <v>16.899999999999999</v>
      </c>
      <c r="E25" s="7">
        <f>ROUND((126/E21)*100,2)</f>
        <v>17.75</v>
      </c>
      <c r="F25" s="7">
        <f>ROUND((141/E21)*100,2)</f>
        <v>19.86</v>
      </c>
      <c r="G25">
        <f>SUM(C25:F25)</f>
        <v>72.400000000000006</v>
      </c>
      <c r="H25" s="6" t="s">
        <v>13</v>
      </c>
      <c r="I25" s="7">
        <f>ROUND((45/E21)*100,2)</f>
        <v>6.34</v>
      </c>
      <c r="J25" s="7">
        <f>ROUND((175/E21)*100,2)</f>
        <v>24.65</v>
      </c>
      <c r="K25" s="7">
        <f>ROUND((122/E21)*100,2)</f>
        <v>17.18</v>
      </c>
      <c r="L25" s="7">
        <f>ROUND((69/E21)*100,2)</f>
        <v>9.7200000000000006</v>
      </c>
      <c r="M25" s="7">
        <f>ROUND((89/E21)*100,2)</f>
        <v>12.54</v>
      </c>
      <c r="N25" s="7">
        <f>ROUND((14/E21)*100,2)</f>
        <v>1.97</v>
      </c>
      <c r="O25">
        <f>SUM(I25:N25)</f>
        <v>72.400000000000006</v>
      </c>
    </row>
    <row r="27" spans="2:15" ht="16.8">
      <c r="B27" s="5" t="s">
        <v>23</v>
      </c>
      <c r="H27" s="5" t="s">
        <v>24</v>
      </c>
    </row>
    <row r="29" spans="2:15">
      <c r="B29" s="4"/>
      <c r="C29" s="6" t="s">
        <v>1</v>
      </c>
      <c r="D29" s="6" t="s">
        <v>5</v>
      </c>
      <c r="E29" s="6" t="s">
        <v>11</v>
      </c>
      <c r="F29" s="6" t="s">
        <v>22</v>
      </c>
      <c r="H29" s="4"/>
      <c r="I29" s="6" t="s">
        <v>3</v>
      </c>
      <c r="J29" s="6" t="s">
        <v>7</v>
      </c>
      <c r="K29" s="6" t="s">
        <v>9</v>
      </c>
      <c r="L29" s="2"/>
      <c r="M29" s="2"/>
      <c r="N29" s="2"/>
    </row>
    <row r="30" spans="2:15">
      <c r="B30" s="6" t="s">
        <v>0</v>
      </c>
      <c r="C30" s="7">
        <f>ROUND((132/E20)*100,2)</f>
        <v>19.13</v>
      </c>
      <c r="D30" s="7">
        <f>ROUND((262/E20)*100,2)</f>
        <v>37.97</v>
      </c>
      <c r="E30" s="7">
        <f>ROUND((36/E20)*100,2)</f>
        <v>5.22</v>
      </c>
      <c r="F30" s="7">
        <f>ROUND((9/E20)*100,2)</f>
        <v>1.3</v>
      </c>
      <c r="G30">
        <f>SUM(C30:F30)</f>
        <v>63.61999999999999</v>
      </c>
      <c r="H30" s="6" t="s">
        <v>0</v>
      </c>
      <c r="I30" s="7">
        <f>ROUND((139/E20)*100,2)</f>
        <v>20.14</v>
      </c>
      <c r="J30" s="7">
        <f>ROUND((225/E20)*100,2)</f>
        <v>32.61</v>
      </c>
      <c r="K30" s="7">
        <f>ROUND((75/E20)*100,2)</f>
        <v>10.87</v>
      </c>
      <c r="L30" s="4">
        <f>SUM(I30:K30)</f>
        <v>63.62</v>
      </c>
      <c r="M30" s="4"/>
      <c r="N30" s="4"/>
    </row>
    <row r="31" spans="2:15">
      <c r="B31" s="6" t="s">
        <v>13</v>
      </c>
      <c r="C31" s="7">
        <f>ROUND((162/E21)*100,2)</f>
        <v>22.82</v>
      </c>
      <c r="D31" s="7">
        <f>ROUND((307/E21)*100,2)</f>
        <v>43.24</v>
      </c>
      <c r="E31" s="7">
        <f>ROUND((37/E21)*100,2)</f>
        <v>5.21</v>
      </c>
      <c r="F31" s="7">
        <f>ROUND((8/E21)*100,2)</f>
        <v>1.1299999999999999</v>
      </c>
      <c r="G31">
        <f>SUM(C31:F31)</f>
        <v>72.399999999999991</v>
      </c>
      <c r="H31" s="6" t="s">
        <v>13</v>
      </c>
      <c r="I31" s="7">
        <f>ROUND((165/E21)*100,2)</f>
        <v>23.24</v>
      </c>
      <c r="J31" s="7">
        <f>ROUND((269/E21)*100,2)</f>
        <v>37.89</v>
      </c>
      <c r="K31" s="7">
        <f>ROUND((80/E21)*100,2)</f>
        <v>11.27</v>
      </c>
      <c r="L31" s="4">
        <f>SUM(I31:K31)</f>
        <v>72.399999999999991</v>
      </c>
      <c r="M31" s="4"/>
      <c r="N31" s="4"/>
    </row>
    <row r="33" spans="2:15">
      <c r="B33" s="4" t="s">
        <v>26</v>
      </c>
      <c r="C33">
        <v>439</v>
      </c>
      <c r="D33">
        <f>ROUND((C33/E20)*100,2)</f>
        <v>63.62</v>
      </c>
    </row>
    <row r="34" spans="2:15">
      <c r="B34" s="4" t="s">
        <v>27</v>
      </c>
      <c r="C34">
        <v>514</v>
      </c>
      <c r="D34">
        <f>ROUND((C34/E21)*100,2)</f>
        <v>72.39</v>
      </c>
    </row>
    <row r="37" spans="2:15" s="8" customFormat="1"/>
    <row r="40" spans="2:15" ht="18.600000000000001">
      <c r="B40" s="1" t="s">
        <v>28</v>
      </c>
      <c r="C40" s="2" t="s">
        <v>15</v>
      </c>
      <c r="D40" s="3"/>
      <c r="E40" s="4">
        <v>690</v>
      </c>
    </row>
    <row r="41" spans="2:15" ht="16.8">
      <c r="B41" s="5" t="s">
        <v>16</v>
      </c>
      <c r="C41" s="2" t="s">
        <v>17</v>
      </c>
      <c r="D41" s="3"/>
      <c r="E41" s="4">
        <v>710</v>
      </c>
      <c r="H41" s="5" t="s">
        <v>18</v>
      </c>
    </row>
    <row r="43" spans="2:15">
      <c r="B43" s="4"/>
      <c r="C43" s="6" t="s">
        <v>19</v>
      </c>
      <c r="D43" s="6" t="s">
        <v>4</v>
      </c>
      <c r="E43" s="6" t="s">
        <v>20</v>
      </c>
      <c r="F43" s="6" t="s">
        <v>10</v>
      </c>
      <c r="H43" s="4"/>
      <c r="I43" s="6" t="s">
        <v>2</v>
      </c>
      <c r="J43" s="6" t="s">
        <v>6</v>
      </c>
      <c r="K43" s="6" t="s">
        <v>8</v>
      </c>
      <c r="L43" s="6" t="s">
        <v>21</v>
      </c>
      <c r="M43" s="6" t="s">
        <v>12</v>
      </c>
      <c r="N43" s="6" t="s">
        <v>22</v>
      </c>
    </row>
    <row r="44" spans="2:15">
      <c r="B44" s="6" t="s">
        <v>0</v>
      </c>
      <c r="C44" s="7">
        <f>ROUND((47/E40)*100,2)</f>
        <v>6.81</v>
      </c>
      <c r="D44" s="7">
        <f>ROUND((44/E40)*100,2)</f>
        <v>6.38</v>
      </c>
      <c r="E44" s="7">
        <f>ROUND((41/E40)*100,2)</f>
        <v>5.94</v>
      </c>
      <c r="F44" s="7">
        <f>ROUND((41/E40)*100,2)</f>
        <v>5.94</v>
      </c>
      <c r="G44">
        <f>SUM(C44:F44)</f>
        <v>25.07</v>
      </c>
      <c r="H44" s="6" t="s">
        <v>0</v>
      </c>
      <c r="I44" s="7">
        <f>ROUND((18/E40)*100,2)</f>
        <v>2.61</v>
      </c>
      <c r="J44" s="7">
        <f>ROUND((52/E40)*100,2)</f>
        <v>7.54</v>
      </c>
      <c r="K44" s="7">
        <f>ROUND((39/E40)*100,2)</f>
        <v>5.65</v>
      </c>
      <c r="L44" s="7">
        <f>ROUND((21/E40)*100,2)</f>
        <v>3.04</v>
      </c>
      <c r="M44" s="7">
        <f>ROUND((41/E40)*100,2)</f>
        <v>5.94</v>
      </c>
      <c r="N44" s="7">
        <f>ROUND((2/E40)*100,2)</f>
        <v>0.28999999999999998</v>
      </c>
      <c r="O44">
        <f>SUM(I44:N44)</f>
        <v>25.07</v>
      </c>
    </row>
    <row r="45" spans="2:15">
      <c r="B45" s="6" t="s">
        <v>13</v>
      </c>
      <c r="C45" s="7">
        <f>ROUND((50/E41)*100,2)</f>
        <v>7.04</v>
      </c>
      <c r="D45" s="7">
        <f>ROUND((42/E41)*100,2)</f>
        <v>5.92</v>
      </c>
      <c r="E45" s="7">
        <f>ROUND((53/E41)*100,2)</f>
        <v>7.46</v>
      </c>
      <c r="F45" s="7">
        <f>ROUND((61/E41)*100,2)</f>
        <v>8.59</v>
      </c>
      <c r="G45">
        <f>SUM(C45:F45)</f>
        <v>29.01</v>
      </c>
      <c r="H45" s="6" t="s">
        <v>13</v>
      </c>
      <c r="I45" s="7">
        <f>ROUND((20/E41)*100,2)</f>
        <v>2.82</v>
      </c>
      <c r="J45" s="7">
        <f>ROUND((63/E41)*100,2)</f>
        <v>8.8699999999999992</v>
      </c>
      <c r="K45" s="7">
        <f>ROUND((46/E41)*100,2)</f>
        <v>6.48</v>
      </c>
      <c r="L45" s="7">
        <f>ROUND((32/E41)*100,2)</f>
        <v>4.51</v>
      </c>
      <c r="M45" s="7">
        <f>ROUND((41/E41)*100,2)</f>
        <v>5.77</v>
      </c>
      <c r="N45" s="7">
        <f>ROUND((4/E41)*100,2)</f>
        <v>0.56000000000000005</v>
      </c>
      <c r="O45">
        <f>SUM(I45:N45)</f>
        <v>29.009999999999998</v>
      </c>
    </row>
    <row r="47" spans="2:15" ht="16.8">
      <c r="B47" s="5" t="s">
        <v>23</v>
      </c>
      <c r="H47" s="5" t="s">
        <v>24</v>
      </c>
    </row>
    <row r="49" spans="2:14">
      <c r="B49" s="4"/>
      <c r="C49" s="6" t="s">
        <v>1</v>
      </c>
      <c r="D49" s="6" t="s">
        <v>5</v>
      </c>
      <c r="E49" s="6" t="s">
        <v>11</v>
      </c>
      <c r="F49" s="6" t="s">
        <v>22</v>
      </c>
      <c r="H49" s="4"/>
      <c r="I49" s="6" t="s">
        <v>3</v>
      </c>
      <c r="J49" s="6" t="s">
        <v>7</v>
      </c>
      <c r="K49" s="6" t="s">
        <v>9</v>
      </c>
      <c r="L49" s="2"/>
      <c r="M49" s="2"/>
      <c r="N49" s="2"/>
    </row>
    <row r="50" spans="2:14">
      <c r="B50" s="6" t="s">
        <v>0</v>
      </c>
      <c r="C50" s="7">
        <f>ROUND((50/E40)*100,2)</f>
        <v>7.25</v>
      </c>
      <c r="D50" s="7">
        <f>ROUND((104/E40)*100,2)</f>
        <v>15.07</v>
      </c>
      <c r="E50" s="7">
        <f>ROUND((13/E40)*100,2)</f>
        <v>1.88</v>
      </c>
      <c r="F50" s="7">
        <f>ROUND((6/E40)*100,2)</f>
        <v>0.87</v>
      </c>
      <c r="G50">
        <f>SUM(C50:F50)</f>
        <v>25.07</v>
      </c>
      <c r="H50" s="6" t="s">
        <v>0</v>
      </c>
      <c r="I50" s="7">
        <f>ROUND((52/E40)*100,2)</f>
        <v>7.54</v>
      </c>
      <c r="J50" s="7">
        <f>ROUND((90/E40)*100,2)</f>
        <v>13.04</v>
      </c>
      <c r="K50" s="7">
        <f>ROUND((31/E40)*100,2)</f>
        <v>4.49</v>
      </c>
      <c r="L50" s="4">
        <f>SUM(I50:K50)</f>
        <v>25.07</v>
      </c>
      <c r="M50" s="4"/>
      <c r="N50" s="4"/>
    </row>
    <row r="51" spans="2:14">
      <c r="B51" s="6" t="s">
        <v>13</v>
      </c>
      <c r="C51" s="7">
        <f>ROUND((57/E41)*100,2)</f>
        <v>8.0299999999999994</v>
      </c>
      <c r="D51" s="7">
        <f>ROUND((134/E41)*100,2)</f>
        <v>18.87</v>
      </c>
      <c r="E51" s="7">
        <f>ROUND((14/E41)*100,2)</f>
        <v>1.97</v>
      </c>
      <c r="F51" s="7">
        <f>ROUND((1/E41)*100,2)</f>
        <v>0.14000000000000001</v>
      </c>
      <c r="G51">
        <f>SUM(C51:F51)</f>
        <v>29.009999999999998</v>
      </c>
      <c r="H51" s="6" t="s">
        <v>13</v>
      </c>
      <c r="I51" s="7">
        <f>ROUND((65/E41)*100,2)</f>
        <v>9.15</v>
      </c>
      <c r="J51" s="7">
        <f>ROUND((116/E41)*100,2)</f>
        <v>16.34</v>
      </c>
      <c r="K51" s="7">
        <f>ROUND((25/E41)*100,2)</f>
        <v>3.52</v>
      </c>
      <c r="L51" s="4">
        <f>SUM(I51:K51)</f>
        <v>29.01</v>
      </c>
      <c r="M51" s="4"/>
      <c r="N51" s="4"/>
    </row>
    <row r="53" spans="2:14">
      <c r="B53" s="4" t="s">
        <v>29</v>
      </c>
      <c r="C53">
        <v>173</v>
      </c>
      <c r="D53">
        <f>ROUND((C53/E40)*100,2)</f>
        <v>25.07</v>
      </c>
    </row>
    <row r="54" spans="2:14">
      <c r="B54" s="4" t="s">
        <v>30</v>
      </c>
      <c r="C54">
        <v>206</v>
      </c>
      <c r="D54">
        <f>ROUND((C54/E41)*100,2)</f>
        <v>29.01</v>
      </c>
    </row>
    <row r="57" spans="2:14" s="8" customFormat="1"/>
    <row r="59" spans="2:14">
      <c r="B59" s="2" t="s">
        <v>15</v>
      </c>
      <c r="C59" s="4">
        <v>690</v>
      </c>
    </row>
    <row r="60" spans="2:14">
      <c r="B60" s="2" t="s">
        <v>17</v>
      </c>
      <c r="C60" s="4">
        <v>710</v>
      </c>
    </row>
    <row r="61" spans="2:14" ht="15.6">
      <c r="B61" s="9" t="s">
        <v>31</v>
      </c>
      <c r="C61" s="9" t="s">
        <v>32</v>
      </c>
      <c r="D61" s="9" t="s">
        <v>33</v>
      </c>
    </row>
    <row r="62" spans="2:14">
      <c r="B62" s="7" t="s">
        <v>34</v>
      </c>
      <c r="C62" s="10">
        <f>ROUND((108/C59)*100,2)</f>
        <v>15.65</v>
      </c>
      <c r="D62" s="10">
        <f>ROUND((150/C60)*100,2)</f>
        <v>21.13</v>
      </c>
    </row>
    <row r="63" spans="2:14">
      <c r="B63" s="7" t="s">
        <v>35</v>
      </c>
      <c r="C63" s="10">
        <f>ROUND((22/C59)*100,2)</f>
        <v>3.19</v>
      </c>
      <c r="D63" s="10">
        <f>ROUND((50/C60)*100,2)</f>
        <v>7.04</v>
      </c>
    </row>
    <row r="64" spans="2:14">
      <c r="B64" s="7" t="s">
        <v>36</v>
      </c>
      <c r="C64" s="10">
        <f>ROUND((35862.28/C59),2)</f>
        <v>51.97</v>
      </c>
      <c r="D64" s="10">
        <f>ROUND((38520.71/C60),2)</f>
        <v>54.25</v>
      </c>
    </row>
    <row r="65" spans="2:4">
      <c r="B65" s="7" t="s">
        <v>37</v>
      </c>
      <c r="C65" s="10">
        <f>35862.28/22</f>
        <v>1630.1036363636363</v>
      </c>
      <c r="D65" s="10">
        <f>ROUND((38520.71/50),2)</f>
        <v>770.41</v>
      </c>
    </row>
    <row r="66" spans="2:4">
      <c r="B66" s="7" t="s">
        <v>38</v>
      </c>
      <c r="C66" s="10">
        <v>0</v>
      </c>
      <c r="D66" s="10">
        <f>ROUND(3/C60,5)</f>
        <v>4.2300000000000003E-3</v>
      </c>
    </row>
    <row r="67" spans="2:4">
      <c r="B67" s="7" t="s">
        <v>39</v>
      </c>
      <c r="C67" s="10">
        <f>ROUND((102/C59)*100,2)</f>
        <v>14.78</v>
      </c>
      <c r="D67" s="10">
        <f>ROUND((177/C60)*100,2)</f>
        <v>24.93</v>
      </c>
    </row>
    <row r="68" spans="2:4">
      <c r="B68" s="7" t="s">
        <v>40</v>
      </c>
      <c r="C68" s="10">
        <f>ROUND((39177/C59),2)</f>
        <v>56.78</v>
      </c>
      <c r="D68" s="10">
        <f>ROUND((44422.6/C60),2)</f>
        <v>62.57</v>
      </c>
    </row>
    <row r="69" spans="2:4">
      <c r="B69" s="7" t="s">
        <v>41</v>
      </c>
      <c r="C69" s="10">
        <f>ROUND(195/22,2)</f>
        <v>8.86</v>
      </c>
      <c r="D69" s="10">
        <f>320/50</f>
        <v>6.4</v>
      </c>
    </row>
    <row r="70" spans="2:4" ht="15.6" thickBot="1">
      <c r="C70" s="11"/>
      <c r="D70" s="11"/>
    </row>
    <row r="71" spans="2:4" ht="15.6" thickBot="1">
      <c r="C71" s="12"/>
      <c r="D71" s="12"/>
    </row>
    <row r="72" spans="2:4" ht="15.6" thickBot="1">
      <c r="C72" s="13"/>
      <c r="D7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Shinoj K R</dc:creator>
  <cp:lastModifiedBy>Shinoj K R</cp:lastModifiedBy>
  <dcterms:created xsi:type="dcterms:W3CDTF">2026-06-24T17:44:23Z</dcterms:created>
  <dcterms:modified xsi:type="dcterms:W3CDTF">2026-06-24T17:53:20Z</dcterms:modified>
</cp:coreProperties>
</file>